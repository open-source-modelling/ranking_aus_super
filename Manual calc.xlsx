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ranking_aus_super/"/>
    </mc:Choice>
  </mc:AlternateContent>
  <xr:revisionPtr revIDLastSave="120" documentId="8_{6B50DBFC-E840-4F93-9C07-3F647D2188CC}" xr6:coauthVersionLast="47" xr6:coauthVersionMax="47" xr10:uidLastSave="{C4B80A72-051B-40AD-A9F7-7FCB07C81203}"/>
  <bookViews>
    <workbookView xWindow="-90" yWindow="0" windowWidth="12980" windowHeight="15370" xr2:uid="{463C025B-1AEA-4D48-A61E-6EBBD6EBE81E}"/>
  </bookViews>
  <sheets>
    <sheet name="Calc" sheetId="1" r:id="rId1"/>
    <sheet name="Sour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8" i="1" s="1"/>
  <c r="G13" i="1" s="1"/>
  <c r="F6" i="1"/>
  <c r="F8" i="1" s="1"/>
  <c r="F13" i="1" s="1"/>
  <c r="F5" i="1"/>
  <c r="E8" i="1"/>
  <c r="E13" i="1"/>
  <c r="E6" i="1"/>
  <c r="D6" i="1"/>
  <c r="D8" i="1" s="1"/>
  <c r="D13" i="1" s="1"/>
  <c r="C13" i="1"/>
  <c r="C8" i="1"/>
  <c r="C6" i="1"/>
  <c r="B6" i="1"/>
  <c r="C5" i="1"/>
  <c r="B5" i="1"/>
  <c r="B8" i="1" l="1"/>
  <c r="B13" i="1" s="1"/>
</calcChain>
</file>

<file path=xl/sharedStrings.xml><?xml version="1.0" encoding="utf-8"?>
<sst xmlns="http://schemas.openxmlformats.org/spreadsheetml/2006/main" count="36" uniqueCount="30">
  <si>
    <t>Balance:</t>
  </si>
  <si>
    <t>Admin fee</t>
  </si>
  <si>
    <t>Investment fee</t>
  </si>
  <si>
    <t>Transaction costs</t>
  </si>
  <si>
    <t>Total</t>
  </si>
  <si>
    <t>Qsuper Lifetime</t>
  </si>
  <si>
    <t>Age</t>
  </si>
  <si>
    <t>Percentage fee (percentage)</t>
  </si>
  <si>
    <t>https://qsuper.qld.gov.au/our-products/our-fees</t>
  </si>
  <si>
    <t>Fund</t>
  </si>
  <si>
    <t>Link</t>
  </si>
  <si>
    <t>Notes:</t>
  </si>
  <si>
    <t>0.05% paid from general reserves.</t>
  </si>
  <si>
    <t>Dollar fee (per year absolute)</t>
  </si>
  <si>
    <t>Dollar fee (per year relative)</t>
  </si>
  <si>
    <t>AustralianSuper</t>
  </si>
  <si>
    <t>fees-and-costs_AustralianSuper.pdf</t>
  </si>
  <si>
    <t>https://www.australiansuper.com/elements-of-retirement/get-started/elements/super-and-investments/fees-cost-and-switching</t>
  </si>
  <si>
    <t>Link 2</t>
  </si>
  <si>
    <t>FirstChoice Employer Super</t>
  </si>
  <si>
    <t>FirstChoice Employer Super_fs8688.pdf</t>
  </si>
  <si>
    <t>https://www.cfs.com.au/personal/tools-resources/tools-calculators/product-disclosure-statements/fces</t>
  </si>
  <si>
    <t>Essential Super</t>
  </si>
  <si>
    <t>https://www.commbank.com.au/super-retiring/essential-super/fees-and-costs.html</t>
  </si>
  <si>
    <t>Essential Super_fs7915.pdf</t>
  </si>
  <si>
    <t>High Growth index</t>
  </si>
  <si>
    <t>https://aware.com.au/member/what-we-offer/fees-and-costs</t>
  </si>
  <si>
    <t>MySuper Lifecycle</t>
  </si>
  <si>
    <t>BUSSQ Superannuation</t>
  </si>
  <si>
    <t>https://www.bussq.com.au/superannuation/super-with-bussq/fees-and-costs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</si>
</sst>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65" fontId="0" fillId="0" borderId="0" xfId="1" applyNumberFormat="1" applyFont="1"/>
    <xf numFmtId="10" fontId="0" fillId="0" borderId="0" xfId="2" applyNumberFormat="1" applyFont="1"/>
    <xf numFmtId="0" fontId="2" fillId="0" borderId="0" xfId="0" applyFont="1"/>
    <xf numFmtId="10" fontId="2" fillId="0" borderId="0" xfId="2" applyNumberFormat="1" applyFont="1"/>
    <xf numFmtId="10" fontId="2" fillId="0" borderId="0" xfId="0" applyNumberFormat="1" applyFont="1"/>
    <xf numFmtId="2" fontId="3" fillId="0" borderId="0" xfId="0" applyNumberFormat="1" applyFont="1"/>
    <xf numFmtId="10" fontId="3" fillId="0" borderId="0" xfId="0" applyNumberFormat="1" applyFont="1"/>
    <xf numFmtId="10" fontId="4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0F08-CD7F-42F2-8486-2D3F0ECC06EA}">
  <dimension ref="A1:G15"/>
  <sheetViews>
    <sheetView tabSelected="1" workbookViewId="0">
      <selection activeCell="D5" sqref="D5"/>
    </sheetView>
  </sheetViews>
  <sheetFormatPr defaultRowHeight="14.5" x14ac:dyDescent="0.35"/>
  <cols>
    <col min="1" max="1" width="24.08984375" bestFit="1" customWidth="1"/>
    <col min="2" max="2" width="11.1796875" bestFit="1" customWidth="1"/>
  </cols>
  <sheetData>
    <row r="1" spans="1:7" x14ac:dyDescent="0.35">
      <c r="A1" t="s">
        <v>6</v>
      </c>
      <c r="B1">
        <v>36</v>
      </c>
    </row>
    <row r="2" spans="1:7" x14ac:dyDescent="0.35">
      <c r="A2" t="s">
        <v>0</v>
      </c>
      <c r="B2" s="1">
        <v>150000</v>
      </c>
    </row>
    <row r="4" spans="1:7" x14ac:dyDescent="0.35">
      <c r="B4" t="s">
        <v>5</v>
      </c>
      <c r="C4" t="s">
        <v>15</v>
      </c>
      <c r="D4" t="s">
        <v>19</v>
      </c>
      <c r="E4" t="s">
        <v>22</v>
      </c>
      <c r="F4" t="s">
        <v>27</v>
      </c>
      <c r="G4" t="s">
        <v>28</v>
      </c>
    </row>
    <row r="5" spans="1:7" x14ac:dyDescent="0.35">
      <c r="A5" t="s">
        <v>13</v>
      </c>
      <c r="B5" s="6">
        <f>52*1.1</f>
        <v>57.2</v>
      </c>
      <c r="C5" s="6">
        <f>52*1</f>
        <v>52</v>
      </c>
      <c r="D5" s="6">
        <v>60</v>
      </c>
      <c r="E5" s="6">
        <v>60</v>
      </c>
      <c r="F5" s="6">
        <f>52</f>
        <v>52</v>
      </c>
      <c r="G5" s="6">
        <v>0</v>
      </c>
    </row>
    <row r="6" spans="1:7" x14ac:dyDescent="0.35">
      <c r="A6" t="s">
        <v>14</v>
      </c>
      <c r="B6" s="2">
        <f>B5/$B$2</f>
        <v>3.8133333333333335E-4</v>
      </c>
      <c r="C6" s="2">
        <f>C5/$B$2</f>
        <v>3.4666666666666667E-4</v>
      </c>
      <c r="D6" s="2">
        <f>D5/$B$2</f>
        <v>4.0000000000000002E-4</v>
      </c>
      <c r="E6" s="2">
        <f>E5/$B$2</f>
        <v>4.0000000000000002E-4</v>
      </c>
      <c r="F6" s="2">
        <f>F5/$B$2</f>
        <v>3.4666666666666667E-4</v>
      </c>
      <c r="G6" s="2">
        <f>G5/$B$2</f>
        <v>0</v>
      </c>
    </row>
    <row r="7" spans="1:7" x14ac:dyDescent="0.35">
      <c r="A7" t="s">
        <v>7</v>
      </c>
      <c r="B7" s="7">
        <v>5.9999999999999995E-4</v>
      </c>
      <c r="C7" s="7">
        <v>1E-3</v>
      </c>
      <c r="D7" s="7">
        <v>7.0000000000000001E-3</v>
      </c>
      <c r="E7" s="7">
        <v>4.0000000000000002E-4</v>
      </c>
      <c r="F7" s="7">
        <v>1.6000000000000001E-3</v>
      </c>
      <c r="G7" s="7">
        <v>1.8E-3</v>
      </c>
    </row>
    <row r="8" spans="1:7" x14ac:dyDescent="0.35">
      <c r="A8" s="3" t="s">
        <v>1</v>
      </c>
      <c r="B8" s="4">
        <f>B6+B7</f>
        <v>9.8133333333333319E-4</v>
      </c>
      <c r="C8" s="4">
        <f>C6+C7</f>
        <v>1.3466666666666666E-3</v>
      </c>
      <c r="D8" s="4">
        <f>D6+D7</f>
        <v>7.4000000000000003E-3</v>
      </c>
      <c r="E8" s="4">
        <f>E6+E7</f>
        <v>8.0000000000000004E-4</v>
      </c>
      <c r="F8" s="4">
        <f>F6+F7</f>
        <v>1.9466666666666669E-3</v>
      </c>
      <c r="G8" s="4">
        <f>G6+G7</f>
        <v>1.8E-3</v>
      </c>
    </row>
    <row r="10" spans="1:7" x14ac:dyDescent="0.35">
      <c r="A10" s="3" t="s">
        <v>2</v>
      </c>
      <c r="B10" s="8">
        <v>3.8999999999999998E-3</v>
      </c>
      <c r="C10" s="8">
        <v>5.0000000000000001E-3</v>
      </c>
      <c r="D10" s="8">
        <v>1.9900000000000001E-2</v>
      </c>
      <c r="E10" s="8">
        <v>6.0000000000000001E-3</v>
      </c>
      <c r="F10" s="8">
        <v>4.4000000000000003E-3</v>
      </c>
      <c r="G10" s="8">
        <v>6.4999999999999997E-3</v>
      </c>
    </row>
    <row r="11" spans="1:7" x14ac:dyDescent="0.35">
      <c r="A11" s="3" t="s">
        <v>3</v>
      </c>
      <c r="B11" s="8">
        <v>5.0000000000000001E-4</v>
      </c>
      <c r="C11" s="8">
        <v>8.9999999999999998E-4</v>
      </c>
      <c r="D11" s="8">
        <v>3.7000000000000002E-3</v>
      </c>
      <c r="E11" s="8">
        <v>0</v>
      </c>
      <c r="F11" s="8">
        <v>8.0000000000000004E-4</v>
      </c>
      <c r="G11" s="8">
        <v>3.3E-3</v>
      </c>
    </row>
    <row r="13" spans="1:7" x14ac:dyDescent="0.35">
      <c r="A13" s="3" t="s">
        <v>4</v>
      </c>
      <c r="B13" s="5">
        <f>B8+B10+B11</f>
        <v>5.3813333333333335E-3</v>
      </c>
      <c r="C13" s="5">
        <f>C8+C10+C11</f>
        <v>7.2466666666666669E-3</v>
      </c>
      <c r="D13" s="5">
        <f>D8+D10+D11</f>
        <v>3.1E-2</v>
      </c>
      <c r="E13" s="5">
        <f>E8+E10+E11</f>
        <v>6.8000000000000005E-3</v>
      </c>
      <c r="F13" s="5">
        <f>F8+F10+F11</f>
        <v>7.1466666666666675E-3</v>
      </c>
      <c r="G13" s="5">
        <f>G8+G10+G11</f>
        <v>1.1599999999999999E-2</v>
      </c>
    </row>
    <row r="15" spans="1:7" x14ac:dyDescent="0.35">
      <c r="A15" t="s">
        <v>11</v>
      </c>
      <c r="B15" t="s">
        <v>12</v>
      </c>
      <c r="E15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30D1-DF19-41B6-9365-5C237DAD46A5}">
  <dimension ref="A1:C7"/>
  <sheetViews>
    <sheetView workbookViewId="0">
      <selection activeCell="A7" sqref="A7"/>
    </sheetView>
  </sheetViews>
  <sheetFormatPr defaultRowHeight="14.5" x14ac:dyDescent="0.35"/>
  <cols>
    <col min="1" max="1" width="23.26953125" bestFit="1" customWidth="1"/>
    <col min="2" max="2" width="40.26953125" bestFit="1" customWidth="1"/>
  </cols>
  <sheetData>
    <row r="1" spans="1:3" x14ac:dyDescent="0.35">
      <c r="A1" t="s">
        <v>9</v>
      </c>
      <c r="B1" t="s">
        <v>10</v>
      </c>
      <c r="C1" t="s">
        <v>18</v>
      </c>
    </row>
    <row r="2" spans="1:3" x14ac:dyDescent="0.35">
      <c r="A2" t="s">
        <v>5</v>
      </c>
      <c r="B2" t="s">
        <v>8</v>
      </c>
    </row>
    <row r="3" spans="1:3" x14ac:dyDescent="0.35">
      <c r="A3" t="s">
        <v>15</v>
      </c>
      <c r="B3" t="s">
        <v>16</v>
      </c>
      <c r="C3" t="s">
        <v>17</v>
      </c>
    </row>
    <row r="4" spans="1:3" x14ac:dyDescent="0.35">
      <c r="A4" t="s">
        <v>19</v>
      </c>
      <c r="B4" t="s">
        <v>20</v>
      </c>
      <c r="C4" t="s">
        <v>21</v>
      </c>
    </row>
    <row r="5" spans="1:3" x14ac:dyDescent="0.35">
      <c r="A5" t="s">
        <v>22</v>
      </c>
      <c r="B5" t="s">
        <v>24</v>
      </c>
      <c r="C5" t="s">
        <v>23</v>
      </c>
    </row>
    <row r="6" spans="1:3" x14ac:dyDescent="0.35">
      <c r="A6" t="s">
        <v>27</v>
      </c>
      <c r="C6" t="s">
        <v>26</v>
      </c>
    </row>
    <row r="7" spans="1:3" x14ac:dyDescent="0.35">
      <c r="A7" t="s">
        <v>28</v>
      </c>
      <c r="C7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2026-10-23T11:04:52Z</dcterms:created>
  <dcterms:modified xsi:type="dcterms:W3CDTF">2026-10-23T15:52:05Z</dcterms:modified>
</cp:coreProperties>
</file>