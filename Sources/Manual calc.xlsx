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ranking_aus_super/"/>
    </mc:Choice>
  </mc:AlternateContent>
  <xr:revisionPtr revIDLastSave="483" documentId="8_{6B50DBFC-E840-4F93-9C07-3F647D2188CC}" xr6:coauthVersionLast="47" xr6:coauthVersionMax="47" xr10:uidLastSave="{9879295D-B0D4-4291-A5D4-B79CC59C9542}"/>
  <bookViews>
    <workbookView xWindow="-110" yWindow="-110" windowWidth="25820" windowHeight="15500" activeTab="1" xr2:uid="{463C025B-1AEA-4D48-A61E-6EBBD6EBE81E}"/>
  </bookViews>
  <sheets>
    <sheet name="Sources" sheetId="2" r:id="rId1"/>
    <sheet name="Cal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6" i="1" l="1"/>
  <c r="AE8" i="1"/>
  <c r="AE13" i="1" s="1"/>
  <c r="AE5" i="1"/>
  <c r="AD13" i="1"/>
  <c r="AD6" i="1"/>
  <c r="AD8" i="1"/>
  <c r="AC6" i="1"/>
  <c r="AC8" i="1"/>
  <c r="AC13" i="1" s="1"/>
  <c r="AB6" i="1"/>
  <c r="AB8" i="1" s="1"/>
  <c r="AB13" i="1" s="1"/>
  <c r="AA13" i="1"/>
  <c r="AA6" i="1"/>
  <c r="AA8" i="1" s="1"/>
  <c r="Z13" i="1"/>
  <c r="Z6" i="1"/>
  <c r="Z8" i="1" s="1"/>
  <c r="Y6" i="1"/>
  <c r="Y8" i="1"/>
  <c r="Y13" i="1"/>
  <c r="Y5" i="1"/>
  <c r="X8" i="1"/>
  <c r="X13" i="1" s="1"/>
  <c r="X6" i="1"/>
  <c r="W6" i="1"/>
  <c r="W8" i="1"/>
  <c r="W13" i="1" s="1"/>
  <c r="V5" i="1"/>
  <c r="V6" i="1" s="1"/>
  <c r="V8" i="1" s="1"/>
  <c r="V13" i="1" s="1"/>
  <c r="U5" i="1"/>
  <c r="U6" i="1" s="1"/>
  <c r="U8" i="1" s="1"/>
  <c r="U13" i="1" s="1"/>
  <c r="T6" i="1"/>
  <c r="T8" i="1" s="1"/>
  <c r="T13" i="1" s="1"/>
  <c r="S6" i="1"/>
  <c r="S8" i="1" s="1"/>
  <c r="S13" i="1" s="1"/>
  <c r="S5" i="1"/>
  <c r="R5" i="1"/>
  <c r="R6" i="1" s="1"/>
  <c r="R8" i="1" s="1"/>
  <c r="R13" i="1" s="1"/>
  <c r="Q6" i="1"/>
  <c r="Q8" i="1" s="1"/>
  <c r="Q13" i="1" s="1"/>
  <c r="P5" i="1"/>
  <c r="P6" i="1" s="1"/>
  <c r="P8" i="1" s="1"/>
  <c r="P13" i="1" s="1"/>
  <c r="O6" i="1"/>
  <c r="O8" i="1" s="1"/>
  <c r="O13" i="1" s="1"/>
  <c r="N6" i="1"/>
  <c r="N8" i="1" s="1"/>
  <c r="N13" i="1" s="1"/>
  <c r="M6" i="1"/>
  <c r="M8" i="1" s="1"/>
  <c r="M13" i="1" s="1"/>
  <c r="L5" i="1"/>
  <c r="L6" i="1" s="1"/>
  <c r="L8" i="1" s="1"/>
  <c r="L13" i="1" s="1"/>
  <c r="K6" i="1"/>
  <c r="K8" i="1" s="1"/>
  <c r="K13" i="1" s="1"/>
  <c r="J6" i="1"/>
  <c r="J8" i="1" s="1"/>
  <c r="J13" i="1" s="1"/>
  <c r="F5" i="1"/>
  <c r="F6" i="1" s="1"/>
  <c r="F8" i="1" s="1"/>
  <c r="F13" i="1" s="1"/>
  <c r="G5" i="1"/>
  <c r="G6" i="1" s="1"/>
  <c r="G8" i="1" s="1"/>
  <c r="G13" i="1" s="1"/>
  <c r="I6" i="1"/>
  <c r="I8" i="1" s="1"/>
  <c r="I13" i="1" s="1"/>
  <c r="H6" i="1"/>
  <c r="H8" i="1" s="1"/>
  <c r="H13" i="1" s="1"/>
  <c r="E6" i="1"/>
  <c r="E8" i="1" s="1"/>
  <c r="E13" i="1" s="1"/>
  <c r="D6" i="1"/>
  <c r="D8" i="1" s="1"/>
  <c r="D13" i="1" s="1"/>
  <c r="C5" i="1"/>
  <c r="C6" i="1" s="1"/>
  <c r="C8" i="1" s="1"/>
  <c r="C13" i="1" s="1"/>
  <c r="B5" i="1"/>
  <c r="B6" i="1" s="1"/>
  <c r="B8" i="1" l="1"/>
  <c r="B13" i="1" s="1"/>
</calcChain>
</file>

<file path=xl/sharedStrings.xml><?xml version="1.0" encoding="utf-8"?>
<sst xmlns="http://schemas.openxmlformats.org/spreadsheetml/2006/main" count="130" uniqueCount="97">
  <si>
    <t>Balance:</t>
  </si>
  <si>
    <t>Admin fee</t>
  </si>
  <si>
    <t>Investment fee</t>
  </si>
  <si>
    <t>Transaction costs</t>
  </si>
  <si>
    <t>Total</t>
  </si>
  <si>
    <t>Qsuper Lifetime</t>
  </si>
  <si>
    <t>Age</t>
  </si>
  <si>
    <t>Percentage fee (percentage)</t>
  </si>
  <si>
    <t>https://qsuper.qld.gov.au/our-products/our-fees</t>
  </si>
  <si>
    <t>Fund</t>
  </si>
  <si>
    <t>Link</t>
  </si>
  <si>
    <t>Notes:</t>
  </si>
  <si>
    <t>0.05% paid from general reserves.</t>
  </si>
  <si>
    <t>Dollar fee (per year absolute)</t>
  </si>
  <si>
    <t>Dollar fee (per year relative)</t>
  </si>
  <si>
    <t>AustralianSuper</t>
  </si>
  <si>
    <t>fees-and-costs_AustralianSuper.pdf</t>
  </si>
  <si>
    <t>https://www.australiansuper.com/elements-of-retirement/get-started/elements/super-and-investments/fees-cost-and-switching</t>
  </si>
  <si>
    <t>Link 2</t>
  </si>
  <si>
    <t>FirstChoice Employer Super</t>
  </si>
  <si>
    <t>FirstChoice Employer Super_fs8688.pdf</t>
  </si>
  <si>
    <t>https://www.cfs.com.au/personal/tools-resources/tools-calculators/product-disclosure-statements/fces</t>
  </si>
  <si>
    <t>Essential Super</t>
  </si>
  <si>
    <t>https://www.commbank.com.au/super-retiring/essential-super/fees-and-costs.html</t>
  </si>
  <si>
    <t>Essential Super_fs7915.pdf</t>
  </si>
  <si>
    <t>High Growth index</t>
  </si>
  <si>
    <t>https://aware.com.au/member/what-we-offer/fees-and-costs</t>
  </si>
  <si>
    <t>MySuper Lifecycle</t>
  </si>
  <si>
    <t>BUSSQ Superannuation</t>
  </si>
  <si>
    <t>https://www.bussq.com.au/superannuation/super-with-bussq/fees-and-costs</t>
  </si>
  <si>
    <t>CareSuper</t>
  </si>
  <si>
    <t>https://www.caresuper.com.au/members/why-choose-us/fees-and-costs</t>
  </si>
  <si>
    <t>Balanced</t>
  </si>
  <si>
    <t>https://www.brightersuper.com.au/compare/fees-and-costs</t>
  </si>
  <si>
    <t>Brighter Super</t>
  </si>
  <si>
    <t>MYSUPER</t>
  </si>
  <si>
    <t>OneSuper</t>
  </si>
  <si>
    <t>https://www.superguide.com.au/super-funds-guide/onesuper</t>
  </si>
  <si>
    <t>https://www.smartmonday.com.au/tools-and-resources/forms-and-factsheets#pds-smartmonday-prime</t>
  </si>
  <si>
    <t>Smart_Monday_1786595961-final_sm_pds_tesf_14082026.pdf</t>
  </si>
  <si>
    <t>smartMonday LifeStage</t>
  </si>
  <si>
    <t>https://www.firstsuper.com.au/superannuation/fees-costs/</t>
  </si>
  <si>
    <t>FIRST Super</t>
  </si>
  <si>
    <t>HESTA Super Fund</t>
  </si>
  <si>
    <t>HOSTPLUS Superannuation Fund</t>
  </si>
  <si>
    <t>HOSTPLUS_fees-and-costs-guide.pdf.coredownload.pdf</t>
  </si>
  <si>
    <t>IOOF MYSUPER</t>
  </si>
  <si>
    <t>IOOF MYSUPER_mysuper-dashboard.pdf</t>
  </si>
  <si>
    <t>https://www.ioof.com.au/superannuation/mysuper-dashboard</t>
  </si>
  <si>
    <t>https://www.legalsuper.com.au/why-join-legalsuper/superannuation-fees?openAccordions=What-do-administration-fees-cover%3F</t>
  </si>
  <si>
    <t>legalsuper</t>
  </si>
  <si>
    <t>HighGrowth</t>
  </si>
  <si>
    <t>Mercer SmartPath</t>
  </si>
  <si>
    <t>Smart Super</t>
  </si>
  <si>
    <t>MercerSmartSuper_PDS.pdf</t>
  </si>
  <si>
    <t>https://www.mercersuper.com.au/documents/product-disclosure-statement/</t>
  </si>
  <si>
    <t>https://www.amp.com.au/superannuation/amp-super/fees-and-costs</t>
  </si>
  <si>
    <t>AMP MySuper Options</t>
  </si>
  <si>
    <t>AMP MySuper Options_sge-pds.pdf</t>
  </si>
  <si>
    <t>https://nesssuper.com.au/pds/</t>
  </si>
  <si>
    <t>NESS Super</t>
  </si>
  <si>
    <t>https://www.ngssuper.com.au/files/documents/fees-costs-and-tax.pdf</t>
  </si>
  <si>
    <t>NGS Super</t>
  </si>
  <si>
    <t>https://www.mlc.com.au/adviser/super/products/mlc-masterkey-super-fundamentals/fees</t>
  </si>
  <si>
    <t>MLC Australia</t>
  </si>
  <si>
    <t>MLC Balanced</t>
  </si>
  <si>
    <t>Prime Super</t>
  </si>
  <si>
    <t>https://primesuper.com.au/member/super/fees</t>
  </si>
  <si>
    <t>REI Super</t>
  </si>
  <si>
    <t>https://www.reisuper.com.au/home/how-super-works/our-fees-and-costs</t>
  </si>
  <si>
    <t>rei-super-fees-and-costs.pdf</t>
  </si>
  <si>
    <t>Rest Super</t>
  </si>
  <si>
    <t>https://rest.com.au/super/products/fees-and-costs</t>
  </si>
  <si>
    <t>Team Super </t>
  </si>
  <si>
    <t>https://www.teamsuper.com/Members/super/super-explained/fees-and-taxes</t>
  </si>
  <si>
    <t>https://www.equipsuper.com.au/your-super/fees-and-costs</t>
  </si>
  <si>
    <t>Equipsuper</t>
  </si>
  <si>
    <t>MySuper</t>
  </si>
  <si>
    <t>Equisuper_myfuture-fees-and-other-costs.pdf</t>
  </si>
  <si>
    <t>https://russellinvestments.com/content/ri/au/en-gb/member/superannuation/why-choose-us/iq-super-for-life.html</t>
  </si>
  <si>
    <t>Russell Investments Master Trust_iq super for life.pdf</t>
  </si>
  <si>
    <t>Russell Investments Master Trust</t>
  </si>
  <si>
    <t>UniSuper</t>
  </si>
  <si>
    <t>UniSuper_fees-and-costs.pdf</t>
  </si>
  <si>
    <t>https://www.unisuper.com.au/super/fees-and-costs</t>
  </si>
  <si>
    <t>Cbus Super</t>
  </si>
  <si>
    <t>CBUS_fees.pdf</t>
  </si>
  <si>
    <t>Growth</t>
  </si>
  <si>
    <t>Vanguard MySuper</t>
  </si>
  <si>
    <t>https://www.cbussuper.com.au/fees</t>
  </si>
  <si>
    <t>https://www.vanguard.com.au/super/performance-and-fees/fees/superannuation</t>
  </si>
  <si>
    <t>Lifecycle</t>
  </si>
  <si>
    <t>Vision Active Super</t>
  </si>
  <si>
    <t>https://www.visionsuper.com.au/forms-and-resources/pds</t>
  </si>
  <si>
    <t>Active Super Saver Fees and costs additional guide.pdf</t>
  </si>
  <si>
    <t>Active Super Saver</t>
  </si>
  <si>
    <t>https://www.hesta.com.au/members/your-superannuation/fees-and-costs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</si>
</sst>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8"/>
      <color rgb="FF000F6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10" fontId="0" fillId="0" borderId="0" xfId="2" applyNumberFormat="1" applyFont="1"/>
    <xf numFmtId="0" fontId="2" fillId="0" borderId="0" xfId="0" applyFont="1"/>
    <xf numFmtId="10" fontId="2" fillId="0" borderId="0" xfId="2" applyNumberFormat="1" applyFont="1"/>
    <xf numFmtId="10" fontId="2" fillId="0" borderId="0" xfId="0" applyNumberFormat="1" applyFont="1"/>
    <xf numFmtId="2" fontId="3" fillId="0" borderId="0" xfId="0" applyNumberFormat="1" applyFont="1"/>
    <xf numFmtId="10" fontId="3" fillId="0" borderId="0" xfId="0" applyNumberFormat="1" applyFont="1"/>
    <xf numFmtId="10" fontId="4" fillId="0" borderId="0" xfId="0" applyNumberFormat="1" applyFont="1"/>
    <xf numFmtId="0" fontId="5" fillId="0" borderId="0" xfId="0" applyFont="1"/>
    <xf numFmtId="43" fontId="0" fillId="0" borderId="0" xfId="0" applyNumberFormat="1"/>
    <xf numFmtId="16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30D1-DF19-41B6-9365-5C237DAD46A5}">
  <dimension ref="A1:C31"/>
  <sheetViews>
    <sheetView workbookViewId="0">
      <selection activeCell="C28" sqref="C28"/>
    </sheetView>
  </sheetViews>
  <sheetFormatPr defaultRowHeight="14.5" x14ac:dyDescent="0.35"/>
  <cols>
    <col min="1" max="1" width="23.26953125" bestFit="1" customWidth="1"/>
    <col min="2" max="2" width="40.26953125" bestFit="1" customWidth="1"/>
  </cols>
  <sheetData>
    <row r="1" spans="1:3" x14ac:dyDescent="0.35">
      <c r="A1" t="s">
        <v>9</v>
      </c>
      <c r="B1" t="s">
        <v>10</v>
      </c>
      <c r="C1" t="s">
        <v>18</v>
      </c>
    </row>
    <row r="2" spans="1:3" x14ac:dyDescent="0.35">
      <c r="A2" t="s">
        <v>5</v>
      </c>
      <c r="B2" t="s">
        <v>8</v>
      </c>
    </row>
    <row r="3" spans="1:3" x14ac:dyDescent="0.35">
      <c r="A3" t="s">
        <v>15</v>
      </c>
      <c r="B3" t="s">
        <v>16</v>
      </c>
      <c r="C3" t="s">
        <v>17</v>
      </c>
    </row>
    <row r="4" spans="1:3" x14ac:dyDescent="0.35">
      <c r="A4" t="s">
        <v>19</v>
      </c>
      <c r="B4" t="s">
        <v>20</v>
      </c>
      <c r="C4" t="s">
        <v>21</v>
      </c>
    </row>
    <row r="5" spans="1:3" x14ac:dyDescent="0.35">
      <c r="A5" t="s">
        <v>22</v>
      </c>
      <c r="B5" t="s">
        <v>24</v>
      </c>
      <c r="C5" t="s">
        <v>23</v>
      </c>
    </row>
    <row r="6" spans="1:3" x14ac:dyDescent="0.35">
      <c r="A6" t="s">
        <v>27</v>
      </c>
      <c r="C6" t="s">
        <v>26</v>
      </c>
    </row>
    <row r="7" spans="1:3" x14ac:dyDescent="0.35">
      <c r="A7" t="s">
        <v>34</v>
      </c>
      <c r="C7" t="s">
        <v>33</v>
      </c>
    </row>
    <row r="8" spans="1:3" x14ac:dyDescent="0.35">
      <c r="A8" t="s">
        <v>28</v>
      </c>
      <c r="C8" t="s">
        <v>29</v>
      </c>
    </row>
    <row r="9" spans="1:3" x14ac:dyDescent="0.35">
      <c r="A9" t="s">
        <v>30</v>
      </c>
      <c r="C9" t="s">
        <v>31</v>
      </c>
    </row>
    <row r="10" spans="1:3" x14ac:dyDescent="0.35">
      <c r="A10" t="s">
        <v>36</v>
      </c>
      <c r="C10" t="s">
        <v>37</v>
      </c>
    </row>
    <row r="11" spans="1:3" x14ac:dyDescent="0.35">
      <c r="A11" t="s">
        <v>40</v>
      </c>
      <c r="B11" t="s">
        <v>39</v>
      </c>
      <c r="C11" t="s">
        <v>38</v>
      </c>
    </row>
    <row r="12" spans="1:3" x14ac:dyDescent="0.35">
      <c r="A12" t="s">
        <v>42</v>
      </c>
      <c r="B12" t="s">
        <v>41</v>
      </c>
    </row>
    <row r="13" spans="1:3" x14ac:dyDescent="0.35">
      <c r="A13" t="s">
        <v>43</v>
      </c>
      <c r="B13" t="s">
        <v>96</v>
      </c>
    </row>
    <row r="14" spans="1:3" x14ac:dyDescent="0.35">
      <c r="A14" t="s">
        <v>44</v>
      </c>
      <c r="B14" t="s">
        <v>45</v>
      </c>
      <c r="C14" t="s">
        <v>45</v>
      </c>
    </row>
    <row r="15" spans="1:3" x14ac:dyDescent="0.35">
      <c r="A15" t="s">
        <v>46</v>
      </c>
      <c r="B15" t="s">
        <v>48</v>
      </c>
      <c r="C15" t="s">
        <v>47</v>
      </c>
    </row>
    <row r="16" spans="1:3" x14ac:dyDescent="0.35">
      <c r="A16" t="s">
        <v>50</v>
      </c>
      <c r="B16" t="s">
        <v>49</v>
      </c>
    </row>
    <row r="17" spans="1:3" x14ac:dyDescent="0.35">
      <c r="A17" t="s">
        <v>52</v>
      </c>
      <c r="B17" t="s">
        <v>55</v>
      </c>
      <c r="C17" t="s">
        <v>54</v>
      </c>
    </row>
    <row r="18" spans="1:3" x14ac:dyDescent="0.35">
      <c r="A18" t="s">
        <v>57</v>
      </c>
      <c r="B18" t="s">
        <v>56</v>
      </c>
      <c r="C18" t="s">
        <v>58</v>
      </c>
    </row>
    <row r="19" spans="1:3" x14ac:dyDescent="0.35">
      <c r="A19" t="s">
        <v>60</v>
      </c>
      <c r="B19" t="s">
        <v>59</v>
      </c>
    </row>
    <row r="20" spans="1:3" x14ac:dyDescent="0.35">
      <c r="A20" t="s">
        <v>62</v>
      </c>
      <c r="B20" t="s">
        <v>61</v>
      </c>
    </row>
    <row r="21" spans="1:3" x14ac:dyDescent="0.35">
      <c r="A21" t="s">
        <v>64</v>
      </c>
      <c r="B21" t="s">
        <v>63</v>
      </c>
    </row>
    <row r="22" spans="1:3" x14ac:dyDescent="0.35">
      <c r="A22" t="s">
        <v>66</v>
      </c>
      <c r="B22" t="s">
        <v>67</v>
      </c>
    </row>
    <row r="23" spans="1:3" x14ac:dyDescent="0.35">
      <c r="A23" t="s">
        <v>68</v>
      </c>
      <c r="B23" t="s">
        <v>70</v>
      </c>
      <c r="C23" t="s">
        <v>69</v>
      </c>
    </row>
    <row r="24" spans="1:3" x14ac:dyDescent="0.35">
      <c r="A24" t="s">
        <v>71</v>
      </c>
      <c r="B24" t="s">
        <v>72</v>
      </c>
    </row>
    <row r="25" spans="1:3" x14ac:dyDescent="0.35">
      <c r="A25" t="s">
        <v>73</v>
      </c>
      <c r="B25" t="s">
        <v>74</v>
      </c>
    </row>
    <row r="26" spans="1:3" x14ac:dyDescent="0.35">
      <c r="A26" t="s">
        <v>76</v>
      </c>
      <c r="B26" t="s">
        <v>75</v>
      </c>
      <c r="C26" t="s">
        <v>78</v>
      </c>
    </row>
    <row r="27" spans="1:3" x14ac:dyDescent="0.35">
      <c r="A27" t="s">
        <v>81</v>
      </c>
      <c r="B27" t="s">
        <v>79</v>
      </c>
      <c r="C27" t="s">
        <v>80</v>
      </c>
    </row>
    <row r="28" spans="1:3" x14ac:dyDescent="0.35">
      <c r="A28" t="s">
        <v>82</v>
      </c>
      <c r="B28" t="s">
        <v>84</v>
      </c>
      <c r="C28" t="s">
        <v>83</v>
      </c>
    </row>
    <row r="29" spans="1:3" x14ac:dyDescent="0.35">
      <c r="A29" t="s">
        <v>85</v>
      </c>
      <c r="B29" t="s">
        <v>89</v>
      </c>
      <c r="C29" t="s">
        <v>86</v>
      </c>
    </row>
    <row r="30" spans="1:3" x14ac:dyDescent="0.35">
      <c r="A30" t="s">
        <v>88</v>
      </c>
      <c r="B30" t="s">
        <v>90</v>
      </c>
    </row>
    <row r="31" spans="1:3" x14ac:dyDescent="0.35">
      <c r="A31" t="s">
        <v>92</v>
      </c>
      <c r="B31" t="s">
        <v>93</v>
      </c>
      <c r="C3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0F08-CD7F-42F2-8486-2D3F0ECC06EA}">
  <dimension ref="A1:AQ20"/>
  <sheetViews>
    <sheetView tabSelected="1" topLeftCell="W1" workbookViewId="0">
      <selection activeCell="AB16" sqref="AB16"/>
    </sheetView>
  </sheetViews>
  <sheetFormatPr defaultRowHeight="14.5" x14ac:dyDescent="0.35"/>
  <cols>
    <col min="1" max="1" width="24.08984375" bestFit="1" customWidth="1"/>
    <col min="2" max="2" width="11.1796875" bestFit="1" customWidth="1"/>
    <col min="4" max="4" width="9.1796875" bestFit="1" customWidth="1"/>
    <col min="7" max="7" width="12.1796875" bestFit="1" customWidth="1"/>
    <col min="13" max="13" width="15.54296875" bestFit="1" customWidth="1"/>
    <col min="14" max="14" width="27.453125" bestFit="1" customWidth="1"/>
    <col min="15" max="15" width="13.36328125" bestFit="1" customWidth="1"/>
    <col min="18" max="18" width="18.6328125" bestFit="1" customWidth="1"/>
    <col min="28" max="28" width="9.1796875" bestFit="1" customWidth="1"/>
  </cols>
  <sheetData>
    <row r="1" spans="1:43" x14ac:dyDescent="0.35">
      <c r="A1" t="s">
        <v>6</v>
      </c>
      <c r="B1">
        <v>36</v>
      </c>
    </row>
    <row r="2" spans="1:43" x14ac:dyDescent="0.35">
      <c r="A2" t="s">
        <v>0</v>
      </c>
      <c r="B2" s="1">
        <v>150000</v>
      </c>
      <c r="D2" s="10"/>
    </row>
    <row r="4" spans="1:43" x14ac:dyDescent="0.35">
      <c r="B4" t="s">
        <v>5</v>
      </c>
      <c r="C4" t="s">
        <v>15</v>
      </c>
      <c r="D4" t="s">
        <v>19</v>
      </c>
      <c r="E4" t="s">
        <v>22</v>
      </c>
      <c r="F4" t="s">
        <v>27</v>
      </c>
      <c r="G4" t="s">
        <v>34</v>
      </c>
      <c r="H4" t="s">
        <v>28</v>
      </c>
      <c r="I4" t="s">
        <v>30</v>
      </c>
      <c r="J4" t="s">
        <v>36</v>
      </c>
      <c r="K4" t="s">
        <v>40</v>
      </c>
      <c r="L4" t="s">
        <v>42</v>
      </c>
      <c r="M4" t="s">
        <v>43</v>
      </c>
      <c r="N4" t="s">
        <v>44</v>
      </c>
      <c r="O4" t="s">
        <v>46</v>
      </c>
      <c r="P4" t="s">
        <v>50</v>
      </c>
      <c r="Q4" t="s">
        <v>52</v>
      </c>
      <c r="R4" t="s">
        <v>57</v>
      </c>
      <c r="S4" t="s">
        <v>60</v>
      </c>
      <c r="T4" t="s">
        <v>62</v>
      </c>
      <c r="U4" t="s">
        <v>64</v>
      </c>
      <c r="V4" t="s">
        <v>66</v>
      </c>
      <c r="W4" t="s">
        <v>68</v>
      </c>
      <c r="X4" t="s">
        <v>71</v>
      </c>
      <c r="Y4" t="s">
        <v>73</v>
      </c>
      <c r="Z4" t="s">
        <v>76</v>
      </c>
      <c r="AA4" t="s">
        <v>81</v>
      </c>
      <c r="AB4" t="s">
        <v>82</v>
      </c>
      <c r="AC4" t="s">
        <v>85</v>
      </c>
      <c r="AD4" t="s">
        <v>88</v>
      </c>
      <c r="AE4" t="s">
        <v>92</v>
      </c>
    </row>
    <row r="5" spans="1:43" x14ac:dyDescent="0.35">
      <c r="A5" t="s">
        <v>13</v>
      </c>
      <c r="B5" s="6">
        <f>52*1.1</f>
        <v>57.2</v>
      </c>
      <c r="C5" s="6">
        <f>52*1</f>
        <v>52</v>
      </c>
      <c r="D5" s="6">
        <v>60</v>
      </c>
      <c r="E5" s="6">
        <v>60</v>
      </c>
      <c r="F5" s="6">
        <f>52</f>
        <v>52</v>
      </c>
      <c r="G5" s="6">
        <f>0.5*52</f>
        <v>26</v>
      </c>
      <c r="H5" s="6">
        <v>0</v>
      </c>
      <c r="I5" s="6">
        <v>67.599999999999994</v>
      </c>
      <c r="J5" s="6">
        <v>20</v>
      </c>
      <c r="K5" s="6">
        <v>67.599999999999994</v>
      </c>
      <c r="L5" s="6">
        <f>1.65*52</f>
        <v>85.8</v>
      </c>
      <c r="M5" s="6">
        <v>52</v>
      </c>
      <c r="N5" s="6">
        <v>78</v>
      </c>
      <c r="O5" s="6">
        <v>78</v>
      </c>
      <c r="P5" s="6">
        <f>0.99*52</f>
        <v>51.48</v>
      </c>
      <c r="Q5" s="6">
        <v>0</v>
      </c>
      <c r="R5" s="6">
        <f>1.5*52</f>
        <v>78</v>
      </c>
      <c r="S5" s="6">
        <f>1.4*52</f>
        <v>72.8</v>
      </c>
      <c r="T5" s="6">
        <v>65</v>
      </c>
      <c r="U5" s="6">
        <f>1.15*52</f>
        <v>59.8</v>
      </c>
      <c r="V5" s="6">
        <f>1*52</f>
        <v>52</v>
      </c>
      <c r="W5" s="6">
        <v>0</v>
      </c>
      <c r="X5" s="6">
        <v>78</v>
      </c>
      <c r="Y5" s="6">
        <f>0.75*52</f>
        <v>39</v>
      </c>
      <c r="Z5" s="6">
        <v>52</v>
      </c>
      <c r="AA5" s="6">
        <v>60</v>
      </c>
      <c r="AB5" s="6">
        <v>96</v>
      </c>
      <c r="AC5" s="6">
        <v>52</v>
      </c>
      <c r="AD5" s="6">
        <v>0</v>
      </c>
      <c r="AE5" s="6">
        <f>1.27*52</f>
        <v>66.040000000000006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x14ac:dyDescent="0.35">
      <c r="A6" t="s">
        <v>14</v>
      </c>
      <c r="B6" s="2">
        <f t="shared" ref="B6:G6" si="0">B5/$B$2</f>
        <v>3.8133333333333335E-4</v>
      </c>
      <c r="C6" s="2">
        <f t="shared" si="0"/>
        <v>3.4666666666666667E-4</v>
      </c>
      <c r="D6" s="2">
        <f t="shared" si="0"/>
        <v>4.0000000000000002E-4</v>
      </c>
      <c r="E6" s="2">
        <f t="shared" si="0"/>
        <v>4.0000000000000002E-4</v>
      </c>
      <c r="F6" s="2">
        <f t="shared" si="0"/>
        <v>3.4666666666666667E-4</v>
      </c>
      <c r="G6" s="2">
        <f t="shared" si="0"/>
        <v>1.7333333333333334E-4</v>
      </c>
      <c r="H6" s="2">
        <f t="shared" ref="H6:O6" si="1">H5/$B$2</f>
        <v>0</v>
      </c>
      <c r="I6" s="2">
        <f t="shared" si="1"/>
        <v>4.5066666666666665E-4</v>
      </c>
      <c r="J6" s="2">
        <f t="shared" si="1"/>
        <v>1.3333333333333334E-4</v>
      </c>
      <c r="K6" s="2">
        <f t="shared" si="1"/>
        <v>4.5066666666666665E-4</v>
      </c>
      <c r="L6" s="2">
        <f t="shared" si="1"/>
        <v>5.7200000000000003E-4</v>
      </c>
      <c r="M6" s="2">
        <f t="shared" si="1"/>
        <v>3.4666666666666667E-4</v>
      </c>
      <c r="N6" s="2">
        <f t="shared" si="1"/>
        <v>5.1999999999999995E-4</v>
      </c>
      <c r="O6" s="2">
        <f t="shared" si="1"/>
        <v>5.1999999999999995E-4</v>
      </c>
      <c r="P6" s="2">
        <f t="shared" ref="P6:W6" si="2">P5/$B$2</f>
        <v>3.4319999999999999E-4</v>
      </c>
      <c r="Q6" s="2">
        <f t="shared" si="2"/>
        <v>0</v>
      </c>
      <c r="R6" s="2">
        <f t="shared" si="2"/>
        <v>5.1999999999999995E-4</v>
      </c>
      <c r="S6" s="2">
        <f t="shared" si="2"/>
        <v>4.8533333333333333E-4</v>
      </c>
      <c r="T6" s="2">
        <f t="shared" si="2"/>
        <v>4.3333333333333331E-4</v>
      </c>
      <c r="U6" s="2">
        <f t="shared" si="2"/>
        <v>3.9866666666666664E-4</v>
      </c>
      <c r="V6" s="2">
        <f t="shared" si="2"/>
        <v>3.4666666666666667E-4</v>
      </c>
      <c r="W6" s="2">
        <f t="shared" si="2"/>
        <v>0</v>
      </c>
      <c r="X6" s="2">
        <f t="shared" ref="X6:AE6" si="3">X5/$B$2</f>
        <v>5.1999999999999995E-4</v>
      </c>
      <c r="Y6" s="2">
        <f t="shared" si="3"/>
        <v>2.5999999999999998E-4</v>
      </c>
      <c r="Z6" s="2">
        <f t="shared" si="3"/>
        <v>3.4666666666666667E-4</v>
      </c>
      <c r="AA6" s="2">
        <f t="shared" si="3"/>
        <v>4.0000000000000002E-4</v>
      </c>
      <c r="AB6" s="2">
        <f t="shared" si="3"/>
        <v>6.4000000000000005E-4</v>
      </c>
      <c r="AC6" s="2">
        <f t="shared" si="3"/>
        <v>3.4666666666666667E-4</v>
      </c>
      <c r="AD6" s="2">
        <f t="shared" si="3"/>
        <v>0</v>
      </c>
      <c r="AE6" s="2">
        <f t="shared" si="3"/>
        <v>4.4026666666666672E-4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35">
      <c r="A7" t="s">
        <v>7</v>
      </c>
      <c r="B7" s="7">
        <v>5.9999999999999995E-4</v>
      </c>
      <c r="C7" s="7">
        <v>1E-3</v>
      </c>
      <c r="D7" s="7">
        <v>4.0000000000000002E-4</v>
      </c>
      <c r="E7" s="7">
        <v>4.0000000000000002E-4</v>
      </c>
      <c r="F7" s="7">
        <v>1.6000000000000001E-3</v>
      </c>
      <c r="G7" s="7">
        <v>1.4E-3</v>
      </c>
      <c r="H7" s="7">
        <v>1.8E-3</v>
      </c>
      <c r="I7" s="7">
        <v>1.5E-3</v>
      </c>
      <c r="J7" s="7">
        <v>3.5000000000000001E-3</v>
      </c>
      <c r="K7" s="7">
        <v>1.6000000000000001E-3</v>
      </c>
      <c r="L7" s="7">
        <v>1.8E-3</v>
      </c>
      <c r="M7" s="7">
        <v>1.5E-3</v>
      </c>
      <c r="N7" s="7">
        <v>0</v>
      </c>
      <c r="O7" s="7">
        <v>2.5000000000000001E-3</v>
      </c>
      <c r="P7" s="7">
        <v>2.8999999999999998E-3</v>
      </c>
      <c r="Q7" s="7">
        <v>1.8E-3</v>
      </c>
      <c r="R7" s="7">
        <v>1.9E-3</v>
      </c>
      <c r="S7" s="7">
        <v>1.2750000000000001E-3</v>
      </c>
      <c r="T7" s="7">
        <v>1.6999999999999999E-3</v>
      </c>
      <c r="U7" s="7">
        <v>1.1999999999999999E-3</v>
      </c>
      <c r="V7" s="7">
        <v>2.5000000000000001E-3</v>
      </c>
      <c r="W7" s="7">
        <v>2.5000000000000001E-3</v>
      </c>
      <c r="X7" s="2">
        <v>1E-3</v>
      </c>
      <c r="Y7" s="7">
        <v>1.6000000000000001E-3</v>
      </c>
      <c r="Z7" s="7">
        <v>1.9E-3</v>
      </c>
      <c r="AA7" s="7">
        <v>1.9E-3</v>
      </c>
      <c r="AB7" s="7">
        <v>0</v>
      </c>
      <c r="AC7" s="7">
        <v>1.9E-3</v>
      </c>
      <c r="AD7" s="7">
        <v>3.3E-3</v>
      </c>
      <c r="AE7" s="7">
        <v>1.4E-3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x14ac:dyDescent="0.35">
      <c r="A8" s="3" t="s">
        <v>1</v>
      </c>
      <c r="B8" s="4">
        <f t="shared" ref="B8:G8" si="4">B6+B7</f>
        <v>9.8133333333333319E-4</v>
      </c>
      <c r="C8" s="4">
        <f t="shared" si="4"/>
        <v>1.3466666666666666E-3</v>
      </c>
      <c r="D8" s="4">
        <f t="shared" si="4"/>
        <v>8.0000000000000004E-4</v>
      </c>
      <c r="E8" s="4">
        <f t="shared" si="4"/>
        <v>8.0000000000000004E-4</v>
      </c>
      <c r="F8" s="4">
        <f t="shared" si="4"/>
        <v>1.9466666666666669E-3</v>
      </c>
      <c r="G8" s="4">
        <f t="shared" si="4"/>
        <v>1.5733333333333333E-3</v>
      </c>
      <c r="H8" s="4">
        <f t="shared" ref="H8:O8" si="5">H6+H7</f>
        <v>1.8E-3</v>
      </c>
      <c r="I8" s="4">
        <f t="shared" si="5"/>
        <v>1.9506666666666667E-3</v>
      </c>
      <c r="J8" s="4">
        <f t="shared" si="5"/>
        <v>3.6333333333333335E-3</v>
      </c>
      <c r="K8" s="4">
        <f t="shared" si="5"/>
        <v>2.0506666666666668E-3</v>
      </c>
      <c r="L8" s="4">
        <f t="shared" si="5"/>
        <v>2.372E-3</v>
      </c>
      <c r="M8" s="4">
        <f t="shared" si="5"/>
        <v>1.8466666666666666E-3</v>
      </c>
      <c r="N8" s="4">
        <f t="shared" si="5"/>
        <v>5.1999999999999995E-4</v>
      </c>
      <c r="O8" s="4">
        <f t="shared" si="5"/>
        <v>3.0200000000000001E-3</v>
      </c>
      <c r="P8" s="4">
        <f t="shared" ref="P8:W8" si="6">P6+P7</f>
        <v>3.2431999999999999E-3</v>
      </c>
      <c r="Q8" s="4">
        <f t="shared" si="6"/>
        <v>1.8E-3</v>
      </c>
      <c r="R8" s="4">
        <f t="shared" si="6"/>
        <v>2.4199999999999998E-3</v>
      </c>
      <c r="S8" s="4">
        <f t="shared" si="6"/>
        <v>1.7603333333333334E-3</v>
      </c>
      <c r="T8" s="4">
        <f t="shared" si="6"/>
        <v>2.1333333333333334E-3</v>
      </c>
      <c r="U8" s="4">
        <f t="shared" si="6"/>
        <v>1.5986666666666666E-3</v>
      </c>
      <c r="V8" s="4">
        <f t="shared" si="6"/>
        <v>2.8466666666666666E-3</v>
      </c>
      <c r="W8" s="4">
        <f t="shared" si="6"/>
        <v>2.5000000000000001E-3</v>
      </c>
      <c r="X8" s="4">
        <f t="shared" ref="X8:AE8" si="7">X6+X7</f>
        <v>1.5200000000000001E-3</v>
      </c>
      <c r="Y8" s="4">
        <f t="shared" si="7"/>
        <v>1.8600000000000001E-3</v>
      </c>
      <c r="Z8" s="4">
        <f t="shared" si="7"/>
        <v>2.2466666666666668E-3</v>
      </c>
      <c r="AA8" s="4">
        <f t="shared" si="7"/>
        <v>2.3E-3</v>
      </c>
      <c r="AB8" s="4">
        <f t="shared" si="7"/>
        <v>6.4000000000000005E-4</v>
      </c>
      <c r="AC8" s="4">
        <f t="shared" si="7"/>
        <v>2.2466666666666668E-3</v>
      </c>
      <c r="AD8" s="4">
        <f t="shared" si="7"/>
        <v>3.3E-3</v>
      </c>
      <c r="AE8" s="4">
        <f t="shared" si="7"/>
        <v>1.8402666666666667E-3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10" spans="1:43" x14ac:dyDescent="0.35">
      <c r="A10" s="3" t="s">
        <v>2</v>
      </c>
      <c r="B10" s="8">
        <v>3.8999999999999998E-3</v>
      </c>
      <c r="C10" s="8">
        <v>5.0000000000000001E-3</v>
      </c>
      <c r="D10" s="8">
        <v>6.1000000000000004E-3</v>
      </c>
      <c r="E10" s="8">
        <v>6.0000000000000001E-3</v>
      </c>
      <c r="F10" s="8">
        <v>4.4000000000000003E-3</v>
      </c>
      <c r="G10" s="8">
        <v>4.4999999999999997E-3</v>
      </c>
      <c r="H10" s="8">
        <v>6.4999999999999997E-3</v>
      </c>
      <c r="I10" s="8">
        <v>4.7999999999999996E-3</v>
      </c>
      <c r="J10" s="8">
        <v>3.0999999999999999E-3</v>
      </c>
      <c r="K10" s="8">
        <v>4.6800000000000001E-3</v>
      </c>
      <c r="L10" s="8">
        <v>4.3E-3</v>
      </c>
      <c r="M10" s="8">
        <v>4.7999999999999996E-3</v>
      </c>
      <c r="N10" s="8">
        <v>8.2000000000000007E-3</v>
      </c>
      <c r="O10" s="8">
        <v>6.1000000000000004E-3</v>
      </c>
      <c r="P10" s="8">
        <v>5.1999999999999998E-3</v>
      </c>
      <c r="Q10" s="8">
        <v>7.0000000000000001E-3</v>
      </c>
      <c r="R10" s="8">
        <v>3.7000000000000002E-3</v>
      </c>
      <c r="S10" s="8">
        <v>5.4000000000000003E-3</v>
      </c>
      <c r="T10" s="8">
        <v>8.6999999999999994E-3</v>
      </c>
      <c r="U10" s="8">
        <v>8.5000000000000006E-3</v>
      </c>
      <c r="V10" s="8">
        <v>3.8E-3</v>
      </c>
      <c r="W10" s="8">
        <v>7.1000000000000004E-3</v>
      </c>
      <c r="X10" s="8">
        <v>4.1999999999999997E-3</v>
      </c>
      <c r="Y10" s="8">
        <v>3.8999999999999998E-3</v>
      </c>
      <c r="Z10" s="8">
        <v>5.1999999999999998E-3</v>
      </c>
      <c r="AA10" s="8">
        <v>6.1999999999999998E-3</v>
      </c>
      <c r="AB10" s="8">
        <v>3.8999999999999998E-3</v>
      </c>
      <c r="AC10" s="8">
        <v>4.1999999999999997E-3</v>
      </c>
      <c r="AD10" s="8">
        <v>2.0999999999999999E-3</v>
      </c>
      <c r="AE10" s="8">
        <v>5.4000000000000003E-3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x14ac:dyDescent="0.35">
      <c r="A11" s="3" t="s">
        <v>3</v>
      </c>
      <c r="B11" s="8">
        <v>5.0000000000000001E-4</v>
      </c>
      <c r="C11" s="8">
        <v>8.9999999999999998E-4</v>
      </c>
      <c r="D11" s="8">
        <v>3.7000000000000002E-3</v>
      </c>
      <c r="E11" s="8">
        <v>0</v>
      </c>
      <c r="F11" s="8">
        <v>8.0000000000000004E-4</v>
      </c>
      <c r="G11" s="8">
        <v>5.0000000000000001E-4</v>
      </c>
      <c r="H11" s="8">
        <v>3.3E-3</v>
      </c>
      <c r="I11" s="8">
        <v>6.9999999999999999E-4</v>
      </c>
      <c r="J11" s="8">
        <v>0</v>
      </c>
      <c r="K11" s="8">
        <v>2.9999999999999997E-4</v>
      </c>
      <c r="L11" s="8">
        <v>8.0000000000000004E-4</v>
      </c>
      <c r="M11" s="8">
        <v>4.0000000000000002E-4</v>
      </c>
      <c r="N11" s="8">
        <v>8.9999999999999998E-4</v>
      </c>
      <c r="O11" s="8">
        <v>8.0000000000000004E-4</v>
      </c>
      <c r="P11" s="8">
        <v>8.9999999999999998E-4</v>
      </c>
      <c r="Q11" s="8">
        <v>5.9999999999999995E-4</v>
      </c>
      <c r="R11" s="8">
        <v>4.0000000000000002E-4</v>
      </c>
      <c r="S11" s="8">
        <v>5.9999999999999995E-4</v>
      </c>
      <c r="T11" s="8">
        <v>1.4E-3</v>
      </c>
      <c r="U11" s="8">
        <v>2.9999999999999997E-4</v>
      </c>
      <c r="V11" s="8">
        <v>1.1000000000000001E-3</v>
      </c>
      <c r="W11" s="8">
        <v>8.9999999999999998E-4</v>
      </c>
      <c r="X11" s="8">
        <v>6.9999999999999999E-4</v>
      </c>
      <c r="Y11" s="8">
        <v>6.9999999999999999E-4</v>
      </c>
      <c r="Z11" s="8">
        <v>1.4E-3</v>
      </c>
      <c r="AA11" s="8">
        <v>4.0000000000000002E-4</v>
      </c>
      <c r="AB11" s="8">
        <v>5.9999999999999995E-4</v>
      </c>
      <c r="AC11" s="8">
        <v>8.0000000000000004E-4</v>
      </c>
      <c r="AD11" s="8">
        <v>2.0000000000000001E-4</v>
      </c>
      <c r="AE11" s="8">
        <v>5.9999999999999995E-4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3" spans="1:43" x14ac:dyDescent="0.35">
      <c r="A13" s="3" t="s">
        <v>4</v>
      </c>
      <c r="B13" s="5">
        <f t="shared" ref="B13:G13" si="8">B8+B10+B11</f>
        <v>5.3813333333333335E-3</v>
      </c>
      <c r="C13" s="5">
        <f t="shared" si="8"/>
        <v>7.2466666666666669E-3</v>
      </c>
      <c r="D13" s="5">
        <f t="shared" si="8"/>
        <v>1.0600000000000002E-2</v>
      </c>
      <c r="E13" s="5">
        <f t="shared" si="8"/>
        <v>6.8000000000000005E-3</v>
      </c>
      <c r="F13" s="5">
        <f t="shared" si="8"/>
        <v>7.1466666666666675E-3</v>
      </c>
      <c r="G13" s="5">
        <f t="shared" si="8"/>
        <v>6.5733333333333338E-3</v>
      </c>
      <c r="H13" s="5">
        <f t="shared" ref="H13:AE13" si="9">H8+H10+H11</f>
        <v>1.1599999999999999E-2</v>
      </c>
      <c r="I13" s="5">
        <f t="shared" si="9"/>
        <v>7.4506666666666662E-3</v>
      </c>
      <c r="J13" s="5">
        <f t="shared" si="9"/>
        <v>6.7333333333333334E-3</v>
      </c>
      <c r="K13" s="5">
        <f t="shared" si="9"/>
        <v>7.0306666666666668E-3</v>
      </c>
      <c r="L13" s="5">
        <f t="shared" si="9"/>
        <v>7.4720000000000003E-3</v>
      </c>
      <c r="M13" s="5">
        <f t="shared" si="9"/>
        <v>7.0466666666666664E-3</v>
      </c>
      <c r="N13" s="5">
        <f t="shared" si="9"/>
        <v>9.6200000000000001E-3</v>
      </c>
      <c r="O13" s="5">
        <f t="shared" si="9"/>
        <v>9.92E-3</v>
      </c>
      <c r="P13" s="5">
        <f t="shared" si="9"/>
        <v>9.3431999999999994E-3</v>
      </c>
      <c r="Q13" s="5">
        <f t="shared" si="9"/>
        <v>9.4000000000000004E-3</v>
      </c>
      <c r="R13" s="5">
        <f t="shared" si="9"/>
        <v>6.5200000000000006E-3</v>
      </c>
      <c r="S13" s="5">
        <f t="shared" si="9"/>
        <v>7.7603333333333335E-3</v>
      </c>
      <c r="T13" s="5">
        <f t="shared" si="9"/>
        <v>1.2233333333333334E-2</v>
      </c>
      <c r="U13" s="5">
        <f t="shared" si="9"/>
        <v>1.0398666666666667E-2</v>
      </c>
      <c r="V13" s="5">
        <f t="shared" si="9"/>
        <v>7.7466666666666673E-3</v>
      </c>
      <c r="W13" s="5">
        <f t="shared" si="9"/>
        <v>1.0500000000000001E-2</v>
      </c>
      <c r="X13" s="5">
        <f t="shared" si="9"/>
        <v>6.4199999999999995E-3</v>
      </c>
      <c r="Y13" s="5">
        <f t="shared" si="9"/>
        <v>6.4599999999999996E-3</v>
      </c>
      <c r="Z13" s="5">
        <f t="shared" si="9"/>
        <v>8.8466666666666659E-3</v>
      </c>
      <c r="AA13" s="5">
        <f t="shared" si="9"/>
        <v>8.8999999999999999E-3</v>
      </c>
      <c r="AB13" s="5">
        <f t="shared" si="9"/>
        <v>5.1399999999999996E-3</v>
      </c>
      <c r="AC13" s="5">
        <f t="shared" si="9"/>
        <v>7.2466666666666669E-3</v>
      </c>
      <c r="AD13" s="5">
        <f t="shared" si="9"/>
        <v>5.5999999999999999E-3</v>
      </c>
      <c r="AE13" s="5">
        <f t="shared" si="9"/>
        <v>7.8402666666666666E-3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x14ac:dyDescent="0.35">
      <c r="P14" t="s">
        <v>51</v>
      </c>
      <c r="Q14" t="s">
        <v>53</v>
      </c>
      <c r="U14" t="s">
        <v>65</v>
      </c>
      <c r="V14" t="s">
        <v>87</v>
      </c>
      <c r="Z14" t="s">
        <v>77</v>
      </c>
      <c r="AC14" t="s">
        <v>87</v>
      </c>
      <c r="AD14" t="s">
        <v>91</v>
      </c>
      <c r="AE14" t="s">
        <v>95</v>
      </c>
    </row>
    <row r="15" spans="1:43" x14ac:dyDescent="0.35">
      <c r="A15" t="s">
        <v>11</v>
      </c>
      <c r="B15" t="s">
        <v>12</v>
      </c>
      <c r="D15" t="s">
        <v>77</v>
      </c>
      <c r="E15" t="s">
        <v>25</v>
      </c>
      <c r="G15" t="s">
        <v>35</v>
      </c>
      <c r="I15" s="9" t="s">
        <v>32</v>
      </c>
    </row>
    <row r="16" spans="1:43" x14ac:dyDescent="0.35">
      <c r="AB16" s="11"/>
      <c r="AD16" s="11"/>
    </row>
    <row r="17" spans="28:30" x14ac:dyDescent="0.35">
      <c r="AB17" s="10"/>
      <c r="AD17" s="10"/>
    </row>
    <row r="18" spans="28:30" x14ac:dyDescent="0.35">
      <c r="AB18" s="10"/>
    </row>
    <row r="19" spans="28:30" x14ac:dyDescent="0.35">
      <c r="AB19" s="10"/>
    </row>
    <row r="20" spans="28:30" x14ac:dyDescent="0.35">
      <c r="AB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2026-10-23T11:04:52Z</dcterms:created>
  <dcterms:modified xsi:type="dcterms:W3CDTF">2026-10-24T11:14:59Z</dcterms:modified>
</cp:coreProperties>
</file>